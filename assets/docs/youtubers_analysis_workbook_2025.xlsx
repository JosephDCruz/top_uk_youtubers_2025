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"/>
    </mc:Choice>
  </mc:AlternateContent>
  <xr:revisionPtr revIDLastSave="0" documentId="13_ncr:1_{E73C2BE7-7C22-44C7-B904-8C44F1EDCA09}" xr6:coauthVersionLast="47" xr6:coauthVersionMax="47" xr10:uidLastSave="{00000000-0000-0000-0000-000000000000}"/>
  <bookViews>
    <workbookView xWindow="-108" yWindow="-108" windowWidth="23256" windowHeight="13176" xr2:uid="{A00FD3BE-3915-4703-A829-33D0366646C8}"/>
  </bookViews>
  <sheets>
    <sheet name="total subs analysis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11" i="1" l="1"/>
  <c r="M10" i="1"/>
  <c r="L11" i="1"/>
  <c r="L12" i="1"/>
  <c r="L10" i="1"/>
  <c r="H10" i="1"/>
  <c r="O10" i="1" s="1"/>
  <c r="D12" i="1"/>
  <c r="F12" i="1" s="1"/>
  <c r="H12" i="1" s="1"/>
  <c r="O12" i="1" s="1"/>
  <c r="D11" i="1"/>
  <c r="F11" i="1" s="1"/>
  <c r="H11" i="1" s="1"/>
  <c r="O11" i="1" s="1"/>
  <c r="D10" i="1"/>
  <c r="F10" i="1" s="1"/>
  <c r="N10" i="1" s="1"/>
  <c r="N12" i="1" l="1"/>
  <c r="N11" i="1"/>
  <c r="M12" i="1"/>
</calcChain>
</file>

<file path=xl/sharedStrings.xml><?xml version="1.0" encoding="utf-8"?>
<sst xmlns="http://schemas.openxmlformats.org/spreadsheetml/2006/main" count="24" uniqueCount="24">
  <si>
    <t>Total Subscribers Analysis</t>
  </si>
  <si>
    <t>Reconciliations (Excel vs SQL)</t>
  </si>
  <si>
    <t>Channel Name</t>
  </si>
  <si>
    <t>Avg Views per Vid(Excel)</t>
  </si>
  <si>
    <t>Avg Views per Vid(SQL)</t>
  </si>
  <si>
    <t>Net Profit(Excel)</t>
  </si>
  <si>
    <t>Net Profit(SQL)</t>
  </si>
  <si>
    <t>Coversion Rate</t>
  </si>
  <si>
    <t>Product Cost</t>
  </si>
  <si>
    <t>Campaign Cost</t>
  </si>
  <si>
    <t>Potential Product Sales per Video</t>
  </si>
  <si>
    <t>Potential Product Sales per Video(Excel)</t>
  </si>
  <si>
    <t>Potential Product Sales per Video(SQL)</t>
  </si>
  <si>
    <t>NocopyrightSounds</t>
  </si>
  <si>
    <t>DanTDM</t>
  </si>
  <si>
    <t>Dan Rhodes</t>
  </si>
  <si>
    <t>Potential Revenue per video($USD)(Excel)</t>
  </si>
  <si>
    <t>Potential Revenue per video($USD)(SQL)</t>
  </si>
  <si>
    <t>Avg Views per Vid</t>
  </si>
  <si>
    <t>Difference (Excel vs SQL)</t>
  </si>
  <si>
    <t>Potential Revenue per video($USD)</t>
  </si>
  <si>
    <t>Net Profit</t>
  </si>
  <si>
    <t>Recomendations</t>
  </si>
  <si>
    <t>Based on the viewership and views per subscriber, Dan Rhodes appears to be the best option to advance with because there's a higher return on investment with Dan Rhodes compared to the other channels.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</si>
</sst>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5" formatCode="_-* #,##0_-;\-* #,##0_-;_-* &quot;-&quot;??_-;_-@_-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7">
    <xf numFmtId="0" fontId="0" fillId="0" borderId="0"/>
    <xf numFmtId="43" fontId="1" fillId="0" borderId="0" applyFont="0" applyFill="0" applyBorder="0" applyAlignment="0" applyProtection="0"/>
    <xf numFmtId="0" fontId="2" fillId="2" borderId="0" applyNumberFormat="0" applyBorder="0" applyAlignment="0" applyProtection="0"/>
    <xf numFmtId="0" fontId="3" fillId="3" borderId="0" applyNumberFormat="0" applyBorder="0" applyAlignment="0" applyProtection="0"/>
    <xf numFmtId="0" fontId="4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</cellStyleXfs>
  <cellXfs count="20">
    <xf numFmtId="0" fontId="0" fillId="0" borderId="0" xfId="0"/>
    <xf numFmtId="0" fontId="5" fillId="7" borderId="0" xfId="0" applyFont="1" applyFill="1" applyAlignment="1">
      <alignment horizontal="center"/>
    </xf>
    <xf numFmtId="0" fontId="5" fillId="0" borderId="0" xfId="0" applyFont="1"/>
    <xf numFmtId="0" fontId="0" fillId="0" borderId="1" xfId="0" applyBorder="1"/>
    <xf numFmtId="0" fontId="0" fillId="0" borderId="1" xfId="0" applyBorder="1" applyAlignment="1">
      <alignment wrapText="1"/>
    </xf>
    <xf numFmtId="0" fontId="0" fillId="0" borderId="1" xfId="0" applyFont="1" applyBorder="1" applyAlignment="1">
      <alignment horizontal="center" wrapText="1"/>
    </xf>
    <xf numFmtId="0" fontId="4" fillId="4" borderId="1" xfId="4" applyBorder="1" applyAlignment="1">
      <alignment horizontal="center" wrapText="1"/>
    </xf>
    <xf numFmtId="0" fontId="3" fillId="3" borderId="1" xfId="3" applyBorder="1" applyAlignment="1">
      <alignment horizontal="center" wrapText="1"/>
    </xf>
    <xf numFmtId="0" fontId="2" fillId="2" borderId="1" xfId="2" applyBorder="1" applyAlignment="1">
      <alignment horizontal="center" wrapText="1"/>
    </xf>
    <xf numFmtId="0" fontId="1" fillId="5" borderId="1" xfId="5" applyBorder="1" applyAlignment="1">
      <alignment horizontal="center" wrapText="1"/>
    </xf>
    <xf numFmtId="0" fontId="1" fillId="6" borderId="1" xfId="6" applyBorder="1"/>
    <xf numFmtId="165" fontId="0" fillId="0" borderId="1" xfId="1" applyNumberFormat="1" applyFont="1" applyBorder="1" applyAlignment="1">
      <alignment wrapText="1"/>
    </xf>
    <xf numFmtId="165" fontId="0" fillId="0" borderId="1" xfId="0" applyNumberFormat="1" applyBorder="1" applyAlignment="1">
      <alignment wrapText="1"/>
    </xf>
    <xf numFmtId="165" fontId="0" fillId="0" borderId="1" xfId="1" applyNumberFormat="1" applyFont="1" applyBorder="1"/>
    <xf numFmtId="165" fontId="0" fillId="0" borderId="0" xfId="0" applyNumberFormat="1"/>
    <xf numFmtId="0" fontId="0" fillId="5" borderId="1" xfId="5" applyFont="1" applyBorder="1" applyAlignment="1">
      <alignment horizontal="center" wrapText="1"/>
    </xf>
    <xf numFmtId="0" fontId="5" fillId="8" borderId="2" xfId="0" applyFont="1" applyFill="1" applyBorder="1" applyAlignment="1">
      <alignment horizontal="center"/>
    </xf>
    <xf numFmtId="0" fontId="0" fillId="8" borderId="2" xfId="0" applyFill="1" applyBorder="1" applyAlignment="1">
      <alignment horizontal="center"/>
    </xf>
    <xf numFmtId="0" fontId="0" fillId="0" borderId="0" xfId="0" applyAlignment="1">
      <alignment horizontal="center" wrapText="1"/>
    </xf>
    <xf numFmtId="165" fontId="2" fillId="2" borderId="1" xfId="2" applyNumberFormat="1" applyBorder="1" applyAlignment="1">
      <alignment wrapText="1"/>
    </xf>
  </cellXfs>
  <cellStyles count="7">
    <cellStyle name="40% - Accent1" xfId="5" builtinId="31"/>
    <cellStyle name="60% - Accent3" xfId="6" builtinId="40"/>
    <cellStyle name="Bad" xfId="3" builtinId="27"/>
    <cellStyle name="Comma" xfId="1" builtinId="3"/>
    <cellStyle name="Good" xfId="2" builtinId="26"/>
    <cellStyle name="Neutral" xfId="4" builtinId="28"/>
    <cellStyle name="Normal" xfId="0" builtinId="0"/>
  </cellStyles>
  <dxfs count="5">
    <dxf>
      <fill>
        <patternFill>
          <bgColor rgb="FFFF7575"/>
        </patternFill>
      </fill>
    </dxf>
    <dxf>
      <font>
        <color theme="1"/>
      </font>
      <fill>
        <patternFill>
          <bgColor rgb="FFFF9900"/>
        </patternFill>
      </fill>
    </dxf>
    <dxf>
      <font>
        <color theme="1"/>
      </font>
      <fill>
        <patternFill>
          <bgColor rgb="FFFF9900"/>
        </patternFill>
      </fill>
    </dxf>
    <dxf>
      <font>
        <color theme="1"/>
      </font>
      <fill>
        <patternFill>
          <bgColor rgb="FFFF9900"/>
        </patternFill>
      </fill>
    </dxf>
    <dxf>
      <font>
        <color theme="1"/>
      </font>
      <fill>
        <patternFill>
          <bgColor rgb="FFFF9900"/>
        </patternFill>
      </fill>
    </dxf>
  </dxfs>
  <tableStyles count="0" defaultTableStyle="TableStyleMedium2" defaultPivotStyle="PivotStyleLight16"/>
  <colors>
    <mruColors>
      <color rgb="FFFF7575"/>
      <color rgb="FFFF9900"/>
      <color rgb="FFE7A36B"/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175B3D-7D1F-440F-9175-CB53B90DD71F}">
  <dimension ref="A1:O17"/>
  <sheetViews>
    <sheetView tabSelected="1" topLeftCell="A4" workbookViewId="0">
      <selection activeCell="I12" sqref="H12:I12"/>
    </sheetView>
  </sheetViews>
  <sheetFormatPr defaultRowHeight="14.4" x14ac:dyDescent="0.3"/>
  <cols>
    <col min="1" max="1" width="17.109375" customWidth="1"/>
    <col min="2" max="2" width="15.44140625" customWidth="1"/>
    <col min="3" max="3" width="16.5546875" customWidth="1"/>
    <col min="4" max="4" width="23.109375" customWidth="1"/>
    <col min="5" max="5" width="20.77734375" customWidth="1"/>
    <col min="6" max="6" width="20.33203125" customWidth="1"/>
    <col min="7" max="7" width="23.44140625" customWidth="1"/>
    <col min="8" max="8" width="10.77734375" customWidth="1"/>
    <col min="9" max="9" width="13.5546875" customWidth="1"/>
    <col min="12" max="12" width="14.5546875" customWidth="1"/>
    <col min="13" max="13" width="17.21875" customWidth="1"/>
    <col min="14" max="15" width="14.77734375" customWidth="1"/>
  </cols>
  <sheetData>
    <row r="1" spans="1:15" x14ac:dyDescent="0.3">
      <c r="A1" s="1" t="s">
        <v>0</v>
      </c>
      <c r="B1" s="1"/>
      <c r="C1" s="1"/>
      <c r="D1" s="1"/>
    </row>
    <row r="3" spans="1:15" x14ac:dyDescent="0.3">
      <c r="A3" s="2" t="s">
        <v>1</v>
      </c>
      <c r="C3" s="10" t="s">
        <v>7</v>
      </c>
      <c r="D3" s="3">
        <v>0.02</v>
      </c>
    </row>
    <row r="4" spans="1:15" x14ac:dyDescent="0.3">
      <c r="C4" s="10" t="s">
        <v>8</v>
      </c>
      <c r="D4" s="3">
        <v>5</v>
      </c>
    </row>
    <row r="5" spans="1:15" x14ac:dyDescent="0.3">
      <c r="C5" s="10" t="s">
        <v>9</v>
      </c>
      <c r="D5" s="13">
        <v>50000</v>
      </c>
    </row>
    <row r="8" spans="1:15" ht="15" customHeight="1" x14ac:dyDescent="0.3">
      <c r="L8" s="16" t="s">
        <v>19</v>
      </c>
      <c r="M8" s="17"/>
      <c r="N8" s="17"/>
      <c r="O8" s="17"/>
    </row>
    <row r="9" spans="1:15" ht="48" customHeight="1" x14ac:dyDescent="0.3">
      <c r="A9" s="5" t="s">
        <v>2</v>
      </c>
      <c r="B9" s="6" t="s">
        <v>3</v>
      </c>
      <c r="C9" s="6" t="s">
        <v>4</v>
      </c>
      <c r="D9" s="7" t="s">
        <v>11</v>
      </c>
      <c r="E9" s="7" t="s">
        <v>12</v>
      </c>
      <c r="F9" s="8" t="s">
        <v>16</v>
      </c>
      <c r="G9" s="8" t="s">
        <v>17</v>
      </c>
      <c r="H9" s="9" t="s">
        <v>5</v>
      </c>
      <c r="I9" s="9" t="s">
        <v>6</v>
      </c>
      <c r="L9" s="6" t="s">
        <v>18</v>
      </c>
      <c r="M9" s="7" t="s">
        <v>10</v>
      </c>
      <c r="N9" s="8" t="s">
        <v>20</v>
      </c>
      <c r="O9" s="15" t="s">
        <v>21</v>
      </c>
    </row>
    <row r="10" spans="1:15" ht="28.8" x14ac:dyDescent="0.3">
      <c r="A10" s="4" t="s">
        <v>13</v>
      </c>
      <c r="B10" s="11">
        <v>5930000</v>
      </c>
      <c r="C10" s="11">
        <v>5930000</v>
      </c>
      <c r="D10" s="11">
        <f>B10*$D$3</f>
        <v>118600</v>
      </c>
      <c r="E10" s="4">
        <v>118600</v>
      </c>
      <c r="F10" s="12">
        <f>D10*$D$4</f>
        <v>593000</v>
      </c>
      <c r="G10" s="4">
        <v>593000</v>
      </c>
      <c r="H10" s="12">
        <f>F10-$D$5</f>
        <v>543000</v>
      </c>
      <c r="I10" s="11">
        <v>543000</v>
      </c>
      <c r="L10" s="14">
        <f>B10-C10</f>
        <v>0</v>
      </c>
      <c r="M10" s="14">
        <f>D10-E10</f>
        <v>0</v>
      </c>
      <c r="N10" s="14">
        <f>F10-G10</f>
        <v>0</v>
      </c>
      <c r="O10" s="14">
        <f>H10-I10</f>
        <v>0</v>
      </c>
    </row>
    <row r="11" spans="1:15" x14ac:dyDescent="0.3">
      <c r="A11" s="4" t="s">
        <v>14</v>
      </c>
      <c r="B11" s="11">
        <v>5360000</v>
      </c>
      <c r="C11" s="11">
        <v>5360000</v>
      </c>
      <c r="D11" s="11">
        <f t="shared" ref="D11" si="0">B11*$D$3</f>
        <v>107200</v>
      </c>
      <c r="E11" s="4">
        <v>107200</v>
      </c>
      <c r="F11" s="12">
        <f t="shared" ref="F11:F12" si="1">D11*$D$4</f>
        <v>536000</v>
      </c>
      <c r="G11" s="4">
        <v>536000</v>
      </c>
      <c r="H11" s="12">
        <f t="shared" ref="H11:H12" si="2">F11-$D$5</f>
        <v>486000</v>
      </c>
      <c r="I11" s="11">
        <v>486000</v>
      </c>
      <c r="L11" s="14">
        <f t="shared" ref="L11:L12" si="3">B11-C11</f>
        <v>0</v>
      </c>
      <c r="M11" s="14">
        <f t="shared" ref="M11:M12" si="4">D11-E11</f>
        <v>0</v>
      </c>
      <c r="N11" s="14">
        <f t="shared" ref="N11:N12" si="5">F11-G11</f>
        <v>0</v>
      </c>
      <c r="O11" s="14">
        <f t="shared" ref="O11:O12" si="6">H11-I11</f>
        <v>0</v>
      </c>
    </row>
    <row r="12" spans="1:15" x14ac:dyDescent="0.3">
      <c r="A12" s="4" t="s">
        <v>15</v>
      </c>
      <c r="B12" s="11">
        <v>11300000</v>
      </c>
      <c r="C12" s="11">
        <v>11300000</v>
      </c>
      <c r="D12" s="11">
        <f>B12*$D$3</f>
        <v>226000</v>
      </c>
      <c r="E12" s="4">
        <v>226000</v>
      </c>
      <c r="F12" s="12">
        <f t="shared" si="1"/>
        <v>1130000</v>
      </c>
      <c r="G12" s="4">
        <v>1130000</v>
      </c>
      <c r="H12" s="19">
        <f t="shared" si="2"/>
        <v>1080000</v>
      </c>
      <c r="I12" s="19">
        <v>1080000</v>
      </c>
      <c r="L12" s="14">
        <f t="shared" si="3"/>
        <v>0</v>
      </c>
      <c r="M12" s="14">
        <f t="shared" si="4"/>
        <v>0</v>
      </c>
      <c r="N12" s="14">
        <f t="shared" si="5"/>
        <v>0</v>
      </c>
      <c r="O12" s="14">
        <f t="shared" si="6"/>
        <v>0</v>
      </c>
    </row>
    <row r="15" spans="1:15" x14ac:dyDescent="0.3">
      <c r="A15" s="2" t="s">
        <v>22</v>
      </c>
    </row>
    <row r="16" spans="1:15" ht="68.400000000000006" customHeight="1" x14ac:dyDescent="0.3">
      <c r="A16" s="18" t="s">
        <v>23</v>
      </c>
      <c r="B16" s="18"/>
      <c r="C16" s="18"/>
      <c r="D16" s="18"/>
    </row>
    <row r="17" ht="31.8" customHeight="1" x14ac:dyDescent="0.3"/>
  </sheetData>
  <mergeCells count="3">
    <mergeCell ref="A1:D1"/>
    <mergeCell ref="L8:O8"/>
    <mergeCell ref="A16:D16"/>
  </mergeCells>
  <conditionalFormatting sqref="L10:O12">
    <cfRule type="cellIs" dxfId="0" priority="1" operator="notEqual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total subs 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Joseph Cruz</dc:creator>
  <cp:lastModifiedBy>Joseph Cruz</cp:lastModifiedBy>
  <dcterms:created xsi:type="dcterms:W3CDTF">2025-12-21T17:28:50Z</dcterms:created>
  <dcterms:modified xsi:type="dcterms:W3CDTF">2025-12-21T23:53:46Z</dcterms:modified>
</cp:coreProperties>
</file>